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F847716-AB7E-4014-AD56-152EA4A7E11C}" xr6:coauthVersionLast="47" xr6:coauthVersionMax="47" xr10:uidLastSave="{00000000-0000-0000-0000-000000000000}"/>
  <bookViews>
    <workbookView xWindow="780" yWindow="780" windowWidth="21600" windowHeight="11385" activeTab="1" xr2:uid="{8BDE1B34-3221-438B-83FB-EB567BBB5B78}"/>
  </bookViews>
  <sheets>
    <sheet name="Produktübersicht" sheetId="1" r:id="rId1"/>
    <sheet name="Bestellungen" sheetId="2" r:id="rId2"/>
    <sheet name="Kunden" sheetId="2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" i="2"/>
  <c r="C3" i="2" a="1"/>
  <c r="C5" i="2" a="1"/>
  <c r="C7" i="2" a="1"/>
  <c r="C9" i="2" a="1"/>
  <c r="C11" i="2" a="1"/>
  <c r="C13" i="2" a="1"/>
  <c r="C15" i="2" a="1"/>
  <c r="C17" i="2" a="1"/>
  <c r="C19" i="2" a="1"/>
  <c r="C21" i="2" a="1"/>
  <c r="C23" i="2" a="1"/>
  <c r="C25" i="2" a="1"/>
  <c r="C6" i="2" a="1"/>
  <c r="C8" i="2" a="1"/>
  <c r="C10" i="2" a="1"/>
  <c r="C12" i="2" a="1"/>
  <c r="C14" i="2" a="1"/>
  <c r="C18" i="2" a="1"/>
  <c r="C20" i="2" a="1"/>
  <c r="C22" i="2" a="1"/>
  <c r="C24" i="2" a="1"/>
  <c r="C4" i="2" a="1"/>
  <c r="C16" i="2" a="1"/>
  <c r="C26" i="2" a="1"/>
  <c r="C2" i="2" a="1"/>
  <c r="D3" i="2" a="1"/>
  <c r="D5" i="2" a="1"/>
  <c r="D7" i="2" a="1"/>
  <c r="D9" i="2" a="1"/>
  <c r="D11" i="2" a="1"/>
  <c r="D13" i="2" a="1"/>
  <c r="D15" i="2" a="1"/>
  <c r="D17" i="2" a="1"/>
  <c r="D19" i="2" a="1"/>
  <c r="D21" i="2" a="1"/>
  <c r="D23" i="2" a="1"/>
  <c r="D25" i="2" a="1"/>
  <c r="D6" i="2" a="1"/>
  <c r="D20" i="2" a="1"/>
  <c r="D4" i="2" a="1"/>
  <c r="D8" i="2" a="1"/>
  <c r="D10" i="2" a="1"/>
  <c r="D12" i="2" a="1"/>
  <c r="D14" i="2" a="1"/>
  <c r="D16" i="2" a="1"/>
  <c r="D18" i="2" a="1"/>
  <c r="D22" i="2" a="1"/>
  <c r="D24" i="2" a="1"/>
  <c r="D26" i="2" a="1"/>
  <c r="D2" i="2" a="1"/>
  <c r="I3" i="2" a="1"/>
  <c r="I5" i="2" a="1"/>
  <c r="I7" i="2" a="1"/>
  <c r="I9" i="2" a="1"/>
  <c r="I11" i="2" a="1"/>
  <c r="I13" i="2" a="1"/>
  <c r="I15" i="2" a="1"/>
  <c r="I17" i="2" a="1"/>
  <c r="I19" i="2" a="1"/>
  <c r="I21" i="2" a="1"/>
  <c r="I23" i="2" a="1"/>
  <c r="I6" i="2" a="1"/>
  <c r="I8" i="2" a="1"/>
  <c r="I12" i="2" a="1"/>
  <c r="I14" i="2" a="1"/>
  <c r="I18" i="2" a="1"/>
  <c r="I20" i="2" a="1"/>
  <c r="I24" i="2" a="1"/>
  <c r="I26" i="2" a="1"/>
  <c r="I25" i="2" a="1"/>
  <c r="I4" i="2" a="1"/>
  <c r="I10" i="2" a="1"/>
  <c r="I16" i="2" a="1"/>
  <c r="I22" i="2" a="1"/>
  <c r="I2" i="2" a="1"/>
  <c r="C26" i="2" l="1"/>
  <c r="C16" i="2"/>
  <c r="C4" i="2"/>
  <c r="C24" i="2"/>
  <c r="C22" i="2"/>
  <c r="C20" i="2"/>
  <c r="C18" i="2"/>
  <c r="C14" i="2"/>
  <c r="C12" i="2"/>
  <c r="C10" i="2"/>
  <c r="C8" i="2"/>
  <c r="C6" i="2"/>
  <c r="C25" i="2"/>
  <c r="C23" i="2"/>
  <c r="C21" i="2"/>
  <c r="C19" i="2"/>
  <c r="C17" i="2"/>
  <c r="C15" i="2"/>
  <c r="C13" i="2"/>
  <c r="C11" i="2"/>
  <c r="C9" i="2"/>
  <c r="C7" i="2"/>
  <c r="C5" i="2"/>
  <c r="C3" i="2"/>
  <c r="C2" i="2"/>
  <c r="D26" i="2"/>
  <c r="D24" i="2"/>
  <c r="D22" i="2"/>
  <c r="D18" i="2"/>
  <c r="D16" i="2"/>
  <c r="D14" i="2"/>
  <c r="D12" i="2"/>
  <c r="D10" i="2"/>
  <c r="D8" i="2"/>
  <c r="D4" i="2"/>
  <c r="D20" i="2"/>
  <c r="D6" i="2"/>
  <c r="D25" i="2"/>
  <c r="D23" i="2"/>
  <c r="D21" i="2"/>
  <c r="D19" i="2"/>
  <c r="D17" i="2"/>
  <c r="D15" i="2"/>
  <c r="D13" i="2"/>
  <c r="D11" i="2"/>
  <c r="D9" i="2"/>
  <c r="D7" i="2"/>
  <c r="D5" i="2"/>
  <c r="D3" i="2"/>
  <c r="D2" i="2"/>
  <c r="I22" i="2"/>
  <c r="I16" i="2"/>
  <c r="I10" i="2"/>
  <c r="I4" i="2"/>
  <c r="I25" i="2"/>
  <c r="I26" i="2"/>
  <c r="I24" i="2"/>
  <c r="I20" i="2"/>
  <c r="I18" i="2"/>
  <c r="I14" i="2"/>
  <c r="I12" i="2"/>
  <c r="I8" i="2"/>
  <c r="I6" i="2"/>
  <c r="I23" i="2"/>
  <c r="I21" i="2"/>
  <c r="I19" i="2"/>
  <c r="I17" i="2"/>
  <c r="I15" i="2"/>
  <c r="I13" i="2"/>
  <c r="I11" i="2"/>
  <c r="I9" i="2"/>
  <c r="I7" i="2"/>
  <c r="I5" i="2"/>
  <c r="I3" i="2"/>
  <c r="I2" i="2"/>
  <c r="K4" i="2" a="1"/>
  <c r="K20" i="2" a="1"/>
  <c r="K8" i="2" a="1"/>
  <c r="K19" i="2" a="1"/>
  <c r="K11" i="2" a="1"/>
  <c r="K3" i="2" a="1"/>
  <c r="K22" i="2" a="1"/>
  <c r="K18" i="2" a="1"/>
  <c r="K6" i="2" a="1"/>
  <c r="K17" i="2" a="1"/>
  <c r="K9" i="2" a="1"/>
  <c r="K16" i="2" a="1"/>
  <c r="K26" i="2" a="1"/>
  <c r="K23" i="2" a="1"/>
  <c r="K7" i="2" a="1"/>
  <c r="K10" i="2" a="1"/>
  <c r="K12" i="2" a="1"/>
  <c r="K21" i="2" a="1"/>
  <c r="K5" i="2" a="1"/>
  <c r="K25" i="2" a="1"/>
  <c r="K2" i="2" a="1"/>
  <c r="K14" i="2" a="1"/>
  <c r="K15" i="2" a="1"/>
  <c r="K24" i="2" a="1"/>
  <c r="K13" i="2" a="1"/>
  <c r="K13" i="2" l="1"/>
  <c r="K24" i="2"/>
  <c r="K15" i="2"/>
  <c r="K14" i="2"/>
  <c r="K2" i="2"/>
  <c r="K25" i="2"/>
  <c r="K5" i="2"/>
  <c r="K21" i="2"/>
  <c r="K12" i="2"/>
  <c r="K10" i="2"/>
  <c r="K7" i="2"/>
  <c r="K23" i="2"/>
  <c r="K26" i="2"/>
  <c r="K16" i="2"/>
  <c r="K9" i="2"/>
  <c r="K17" i="2"/>
  <c r="K6" i="2"/>
  <c r="K18" i="2"/>
  <c r="K22" i="2"/>
  <c r="K3" i="2"/>
  <c r="K11" i="2"/>
  <c r="K19" i="2"/>
  <c r="K8" i="2"/>
  <c r="K20" i="2"/>
  <c r="K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<sst xmlns="http://schemas.openxmlformats.org/spreadsheetml/2006/main" count="165" uniqueCount="90">
  <si>
    <t>Produkt</t>
  </si>
  <si>
    <t>Preis</t>
  </si>
  <si>
    <t>Shampoo Sensitive Plus</t>
  </si>
  <si>
    <t>Pflegespülung Kokostraum</t>
  </si>
  <si>
    <t xml:space="preserve">Antischuppen spezial </t>
  </si>
  <si>
    <t>Conditioner Tropical Pro</t>
  </si>
  <si>
    <t>Datum</t>
  </si>
  <si>
    <t>Name</t>
  </si>
  <si>
    <t>Nachname</t>
  </si>
  <si>
    <t>E-Mail</t>
  </si>
  <si>
    <t>Anzahl</t>
  </si>
  <si>
    <t>Bestellwert</t>
  </si>
  <si>
    <t>Versandkosten</t>
  </si>
  <si>
    <t>Gesamt</t>
  </si>
  <si>
    <t>Antwort-Email</t>
  </si>
  <si>
    <t>Max Peter Huber</t>
  </si>
  <si>
    <t>Max Peter</t>
  </si>
  <si>
    <t>Huber</t>
  </si>
  <si>
    <t>maxhuber95@gmail.com</t>
  </si>
  <si>
    <t>Erica Mayer</t>
  </si>
  <si>
    <t>Erica</t>
  </si>
  <si>
    <t>Mayer</t>
  </si>
  <si>
    <t>ericamayer@hotmail.de</t>
  </si>
  <si>
    <t>Laura Schmidt</t>
  </si>
  <si>
    <t>Laura</t>
  </si>
  <si>
    <t>Schmidt</t>
  </si>
  <si>
    <t>lauraschm@gmx.de</t>
  </si>
  <si>
    <t>Antischuppen Spezial</t>
  </si>
  <si>
    <t>Paul Schneider</t>
  </si>
  <si>
    <t>Paul</t>
  </si>
  <si>
    <t>Schneider</t>
  </si>
  <si>
    <t>paul@mail.de</t>
  </si>
  <si>
    <t>Peter Fischer</t>
  </si>
  <si>
    <t>Peter</t>
  </si>
  <si>
    <t>Fischer</t>
  </si>
  <si>
    <t>peter.fischer@gmail.com</t>
  </si>
  <si>
    <t>Hanna Weber</t>
  </si>
  <si>
    <t>Hanna</t>
  </si>
  <si>
    <t>Weber</t>
  </si>
  <si>
    <t>h.weber@mailinator.de</t>
  </si>
  <si>
    <t>Mila Richter</t>
  </si>
  <si>
    <t>Mila</t>
  </si>
  <si>
    <t>Richter</t>
  </si>
  <si>
    <t>mila.r@byom.de</t>
  </si>
  <si>
    <t>Felix Klein</t>
  </si>
  <si>
    <t>Felix</t>
  </si>
  <si>
    <t>Klein</t>
  </si>
  <si>
    <t>felixk81@yahoo.de</t>
  </si>
  <si>
    <t>Emma Schäfer</t>
  </si>
  <si>
    <t>Emma</t>
  </si>
  <si>
    <t>Schäfer</t>
  </si>
  <si>
    <t>emma123@gmx.de</t>
  </si>
  <si>
    <t>Ben Koch</t>
  </si>
  <si>
    <t>Ben</t>
  </si>
  <si>
    <t>Koch</t>
  </si>
  <si>
    <t>benkoch@hotmail.de</t>
  </si>
  <si>
    <t>Michael Meier</t>
  </si>
  <si>
    <t>Michael</t>
  </si>
  <si>
    <t>Meier</t>
  </si>
  <si>
    <t>m.meier97-2@gmx.de</t>
  </si>
  <si>
    <t>Franziska Kleinhans</t>
  </si>
  <si>
    <t>Franziska</t>
  </si>
  <si>
    <t>Kleinhans</t>
  </si>
  <si>
    <t>franzi-k2@gmail.com</t>
  </si>
  <si>
    <t>Emanuel Burkhardt</t>
  </si>
  <si>
    <t>Emanuel</t>
  </si>
  <si>
    <t>Burkhardt</t>
  </si>
  <si>
    <t>ebkh@yahoo.de</t>
  </si>
  <si>
    <t>Sieglinde Freimoser</t>
  </si>
  <si>
    <t>Sieglinde</t>
  </si>
  <si>
    <t>Freimoser</t>
  </si>
  <si>
    <t>sieglinde.freimoser@aol.com</t>
  </si>
  <si>
    <t>Fred Smith</t>
  </si>
  <si>
    <t>Fred</t>
  </si>
  <si>
    <t>Smith</t>
  </si>
  <si>
    <t>fred.smith45@gmail.com</t>
  </si>
  <si>
    <t>Emil Kästner</t>
  </si>
  <si>
    <t>Emil</t>
  </si>
  <si>
    <t>Kästner</t>
  </si>
  <si>
    <t>e.kaestner@aol.com</t>
  </si>
  <si>
    <t>Katharina Freitag</t>
  </si>
  <si>
    <t>Katharina</t>
  </si>
  <si>
    <t>Freitag</t>
  </si>
  <si>
    <t>freitagkatharina@gmx.de</t>
  </si>
  <si>
    <t>Vorname</t>
  </si>
  <si>
    <t>Bestellungen gesamt</t>
  </si>
  <si>
    <t>Kundentyp</t>
  </si>
  <si>
    <t>B</t>
  </si>
  <si>
    <t>A</t>
  </si>
  <si>
    <t>Vorname(n)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</si>
</sst>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/>
    <xf numFmtId="14" fontId="0" fillId="0" borderId="0" xfId="0" applyNumberFormat="1"/>
    <xf numFmtId="0" fontId="2" fillId="3" borderId="0" xfId="0" applyFont="1" applyFill="1"/>
    <xf numFmtId="0" fontId="3" fillId="0" borderId="0" xfId="2"/>
    <xf numFmtId="2" fontId="0" fillId="0" borderId="0" xfId="0" applyNumberFormat="1"/>
    <xf numFmtId="0" fontId="1" fillId="4" borderId="0" xfId="1" applyFill="1"/>
    <xf numFmtId="0" fontId="0" fillId="0" borderId="0" xfId="0"/>
    <xf numFmtId="0" fontId="2" fillId="3" borderId="0" xfId="0" applyFont="1" applyFill="1"/>
    <xf numFmtId="0" fontId="3" fillId="0" borderId="0" xfId="2"/>
    <xf numFmtId="2" fontId="0" fillId="0" borderId="0" xfId="0" applyNumberFormat="1"/>
  </cellXfs>
  <cellStyles count="3">
    <cellStyle name="Gut" xfId="1" builtinId="26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29</xdr:row>
          <xdr:rowOff>9525</xdr:rowOff>
        </xdr:from>
        <xdr:to>
          <xdr:col>5</xdr:col>
          <xdr:colOff>285750</xdr:colOff>
          <xdr:row>30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 öffnen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franzi-k2@gmail.com" TargetMode="External"/><Relationship Id="rId13" Type="http://schemas.openxmlformats.org/officeDocument/2006/relationships/hyperlink" Target="mailto:h.weber@mailinator.de" TargetMode="External"/><Relationship Id="rId18" Type="http://schemas.openxmlformats.org/officeDocument/2006/relationships/hyperlink" Target="mailto:lauraschm@gmx.de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mailto:freitagkatharina@gmx.de" TargetMode="External"/><Relationship Id="rId21" Type="http://schemas.openxmlformats.org/officeDocument/2006/relationships/hyperlink" Target="mailto:benkoch@hotmail.de" TargetMode="External"/><Relationship Id="rId7" Type="http://schemas.openxmlformats.org/officeDocument/2006/relationships/hyperlink" Target="mailto:franzi-k2@gmail.com" TargetMode="External"/><Relationship Id="rId12" Type="http://schemas.openxmlformats.org/officeDocument/2006/relationships/hyperlink" Target="mailto:mila.r@byom.de" TargetMode="External"/><Relationship Id="rId17" Type="http://schemas.openxmlformats.org/officeDocument/2006/relationships/hyperlink" Target="mailto:paul@mail.de" TargetMode="External"/><Relationship Id="rId25" Type="http://schemas.openxmlformats.org/officeDocument/2006/relationships/hyperlink" Target="mailto:maxhuber95@gmail.com" TargetMode="External"/><Relationship Id="rId2" Type="http://schemas.openxmlformats.org/officeDocument/2006/relationships/hyperlink" Target="mailto:freitagkatharina@gmx.de" TargetMode="External"/><Relationship Id="rId16" Type="http://schemas.openxmlformats.org/officeDocument/2006/relationships/hyperlink" Target="mailto:paul@mail.de" TargetMode="External"/><Relationship Id="rId20" Type="http://schemas.openxmlformats.org/officeDocument/2006/relationships/hyperlink" Target="mailto:emma123@gmx.de" TargetMode="External"/><Relationship Id="rId1" Type="http://schemas.openxmlformats.org/officeDocument/2006/relationships/hyperlink" Target="mailto:sieglinde.freimoser@aol.com" TargetMode="External"/><Relationship Id="rId6" Type="http://schemas.openxmlformats.org/officeDocument/2006/relationships/hyperlink" Target="mailto:ebkh@yahoo.de" TargetMode="External"/><Relationship Id="rId11" Type="http://schemas.openxmlformats.org/officeDocument/2006/relationships/hyperlink" Target="mailto:mila.r@byom.de" TargetMode="External"/><Relationship Id="rId24" Type="http://schemas.openxmlformats.org/officeDocument/2006/relationships/hyperlink" Target="mailto:ericamayer@hotmail.de" TargetMode="External"/><Relationship Id="rId5" Type="http://schemas.openxmlformats.org/officeDocument/2006/relationships/hyperlink" Target="mailto:fred.smith45@gmail.com" TargetMode="External"/><Relationship Id="rId15" Type="http://schemas.openxmlformats.org/officeDocument/2006/relationships/hyperlink" Target="mailto:paul@mail.de" TargetMode="External"/><Relationship Id="rId23" Type="http://schemas.openxmlformats.org/officeDocument/2006/relationships/hyperlink" Target="mailto:felixk81@yahoo.de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mailto:m.meier97-2@gmx.de" TargetMode="External"/><Relationship Id="rId19" Type="http://schemas.openxmlformats.org/officeDocument/2006/relationships/hyperlink" Target="mailto:emma123@gmx.de" TargetMode="External"/><Relationship Id="rId4" Type="http://schemas.openxmlformats.org/officeDocument/2006/relationships/hyperlink" Target="mailto:e.kaestner@aol.com" TargetMode="External"/><Relationship Id="rId9" Type="http://schemas.openxmlformats.org/officeDocument/2006/relationships/hyperlink" Target="mailto:m.meier97-2@gmx.de" TargetMode="External"/><Relationship Id="rId14" Type="http://schemas.openxmlformats.org/officeDocument/2006/relationships/hyperlink" Target="mailto:peter.fischer@gmail.com" TargetMode="External"/><Relationship Id="rId22" Type="http://schemas.openxmlformats.org/officeDocument/2006/relationships/hyperlink" Target="mailto:peter.fischer@gmail.com" TargetMode="External"/><Relationship Id="rId27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1CA2C-B6C0-485D-85B7-63D0A9E7E0AC}">
  <sheetPr codeName="Tabelle1"/>
  <dimension ref="A1:B5"/>
  <sheetViews>
    <sheetView workbookViewId="0">
      <selection activeCell="E5" sqref="E5"/>
    </sheetView>
  </sheetViews>
  <sheetFormatPr baseColWidth="10" defaultRowHeight="15" x14ac:dyDescent="0.25"/>
  <cols>
    <col min="1" max="1" width="35.140625" customWidth="1"/>
    <col min="2" max="2" width="16.85546875" customWidth="1"/>
  </cols>
  <sheetData>
    <row r="1" spans="1:2" x14ac:dyDescent="0.25">
      <c r="A1" s="6" t="s">
        <v>0</v>
      </c>
      <c r="B1" s="6" t="s">
        <v>1</v>
      </c>
    </row>
    <row r="2" spans="1:2" x14ac:dyDescent="0.25">
      <c r="A2" t="s">
        <v>2</v>
      </c>
      <c r="B2">
        <v>9.9499999999999993</v>
      </c>
    </row>
    <row r="3" spans="1:2" x14ac:dyDescent="0.25">
      <c r="A3" t="s">
        <v>3</v>
      </c>
      <c r="B3">
        <v>14.95</v>
      </c>
    </row>
    <row r="4" spans="1:2" x14ac:dyDescent="0.25">
      <c r="A4" t="s">
        <v>4</v>
      </c>
      <c r="B4">
        <v>18.350000000000001</v>
      </c>
    </row>
    <row r="5" spans="1:2" x14ac:dyDescent="0.25">
      <c r="A5" t="s">
        <v>5</v>
      </c>
      <c r="B5">
        <v>8.99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96FFD-B8FE-4285-B3BE-E802E83884A9}">
  <sheetPr codeName="Tabelle2"/>
  <dimension ref="A1:K29"/>
  <sheetViews>
    <sheetView tabSelected="1" workbookViewId="0">
      <selection activeCell="D37" sqref="D37"/>
    </sheetView>
  </sheetViews>
  <sheetFormatPr baseColWidth="10" defaultRowHeight="15" x14ac:dyDescent="0.25"/>
  <cols>
    <col min="1" max="1" width="12" customWidth="1"/>
    <col min="2" max="2" width="20.7109375" customWidth="1"/>
    <col min="3" max="4" width="20.7109375" style="7" customWidth="1"/>
    <col min="5" max="5" width="28.85546875" customWidth="1"/>
    <col min="6" max="6" width="26.5703125" customWidth="1"/>
    <col min="9" max="9" width="15.7109375" customWidth="1"/>
    <col min="10" max="10" width="16.85546875" customWidth="1"/>
    <col min="11" max="11" width="18.7109375" customWidth="1"/>
  </cols>
  <sheetData>
    <row r="1" spans="1:11" x14ac:dyDescent="0.25">
      <c r="A1" s="3" t="s">
        <v>6</v>
      </c>
      <c r="B1" s="3" t="s">
        <v>7</v>
      </c>
      <c r="C1" s="8" t="s">
        <v>89</v>
      </c>
      <c r="D1" s="8" t="s">
        <v>8</v>
      </c>
      <c r="E1" s="3" t="s">
        <v>9</v>
      </c>
      <c r="F1" s="3" t="s">
        <v>0</v>
      </c>
      <c r="G1" s="3" t="s">
        <v>10</v>
      </c>
      <c r="H1" s="3" t="s">
        <v>11</v>
      </c>
      <c r="I1" s="3" t="s">
        <v>12</v>
      </c>
      <c r="J1" s="3" t="s">
        <v>13</v>
      </c>
      <c r="K1" s="3" t="s">
        <v>14</v>
      </c>
    </row>
    <row r="2" spans="1:11" x14ac:dyDescent="0.25">
      <c r="A2" s="2">
        <v>44397</v>
      </c>
      <c r="B2" s="1" t="s">
        <v>15</v>
      </c>
      <c r="C2" s="7" t="str" cm="1">
        <f t="array" ref="C2">Vornamen(B2)</f>
        <v>Max Peter</v>
      </c>
      <c r="D2" s="7" t="str" cm="1">
        <f t="array" ref="D2">NACHNAME(B2)</f>
        <v>Huber</v>
      </c>
      <c r="E2" s="9" t="s">
        <v>18</v>
      </c>
      <c r="F2" s="1" t="s">
        <v>2</v>
      </c>
      <c r="G2" s="1">
        <v>2</v>
      </c>
      <c r="H2" s="5">
        <f>G2*9.95</f>
        <v>19.899999999999999</v>
      </c>
      <c r="I2" s="1" cm="1">
        <f t="array" ref="I2">VERSAND(F2,H2)</f>
        <v>4.99</v>
      </c>
      <c r="J2" s="1"/>
      <c r="K2" s="1" t="str" cm="1">
        <f t="array" ref="K2">ANTWORTEMAIL(F2,G2,H2,I2,J2,B2)</f>
        <v>Hallo Max Peter Huber, _x000D_
_x000D_
 Vielen Dank für ihre Bestellung _x000D_
Bestelltes Produkt: 2 x Shampoo Sensitive Plus_x000D_
Bestellwert: Versandkosten: 4,99Gesamtkosten: _x000D_
Mit freundlichen Grüßen Bravo</v>
      </c>
    </row>
    <row r="3" spans="1:11" x14ac:dyDescent="0.25">
      <c r="A3" s="2">
        <v>44398</v>
      </c>
      <c r="B3" s="1" t="s">
        <v>19</v>
      </c>
      <c r="C3" s="7" t="str" cm="1">
        <f t="array" ref="C3">Vornamen(B3)</f>
        <v>Erica</v>
      </c>
      <c r="D3" s="7" t="str" cm="1">
        <f t="array" ref="D3">NACHNAME(B3)</f>
        <v>Mayer</v>
      </c>
      <c r="E3" s="4" t="s">
        <v>22</v>
      </c>
      <c r="F3" s="1" t="s">
        <v>3</v>
      </c>
      <c r="G3" s="1">
        <v>1</v>
      </c>
      <c r="H3" s="10">
        <f t="shared" ref="H3:H26" si="0">G3*9.95</f>
        <v>9.9499999999999993</v>
      </c>
      <c r="I3" s="7" cm="1">
        <f t="array" ref="I3">VERSAND(F3,H3)</f>
        <v>4.99</v>
      </c>
      <c r="J3" s="1"/>
      <c r="K3" s="7" t="str" cm="1">
        <f t="array" ref="K3">ANTWORTEMAIL(F3,G3,H3,I3,J3,B3)</f>
        <v>Hallo Erica Mayer, _x000D_
_x000D_
 Vielen Dank für ihre Bestellung _x000D_
Bestelltes Produkt: 1 x Pflegespülung Kokostraum_x000D_
Bestellwert: Versandkosten: 4,99Gesamtkosten: _x000D_
Mit freundlichen Grüßen Bravo</v>
      </c>
    </row>
    <row r="4" spans="1:11" x14ac:dyDescent="0.25">
      <c r="A4" s="2">
        <v>44402</v>
      </c>
      <c r="B4" s="1" t="s">
        <v>23</v>
      </c>
      <c r="C4" s="7" t="str" cm="1">
        <f t="array" ref="C4">Vornamen(B4)</f>
        <v>Laura</v>
      </c>
      <c r="D4" s="7" t="str" cm="1">
        <f t="array" ref="D4">NACHNAME(B4)</f>
        <v>Schmidt</v>
      </c>
      <c r="E4" s="4" t="s">
        <v>26</v>
      </c>
      <c r="F4" s="1" t="s">
        <v>27</v>
      </c>
      <c r="G4" s="1">
        <v>2</v>
      </c>
      <c r="H4" s="10">
        <f t="shared" si="0"/>
        <v>19.899999999999999</v>
      </c>
      <c r="I4" s="7" cm="1">
        <f t="array" ref="I4">VERSAND(F4,H4)</f>
        <v>4.99</v>
      </c>
      <c r="J4" s="1"/>
      <c r="K4" s="7" t="str" cm="1">
        <f t="array" ref="K4">ANTWORTEMAIL(F4,G4,H4,I4,J4,B4)</f>
        <v>Hallo Laura Schmidt, _x000D_
_x000D_
 Vielen Dank für ihre Bestellung _x000D_
Bestelltes Produkt: 2 x Antischuppen Spezial_x000D_
Bestellwert: Versandkosten: 4,99Gesamtkosten: _x000D_
Mit freundlichen Grüßen Bravo</v>
      </c>
    </row>
    <row r="5" spans="1:11" x14ac:dyDescent="0.25">
      <c r="A5" s="2">
        <v>44403</v>
      </c>
      <c r="B5" s="1" t="s">
        <v>28</v>
      </c>
      <c r="C5" s="7" t="str" cm="1">
        <f t="array" ref="C5">Vornamen(B5)</f>
        <v>Paul</v>
      </c>
      <c r="D5" s="7" t="str" cm="1">
        <f t="array" ref="D5">NACHNAME(B5)</f>
        <v>Schneider</v>
      </c>
      <c r="E5" s="4" t="s">
        <v>31</v>
      </c>
      <c r="F5" s="1" t="s">
        <v>3</v>
      </c>
      <c r="G5" s="1">
        <v>3</v>
      </c>
      <c r="H5" s="10">
        <f t="shared" si="0"/>
        <v>29.849999999999998</v>
      </c>
      <c r="I5" s="7" cm="1">
        <f t="array" ref="I5">VERSAND(F5,H5)</f>
        <v>0</v>
      </c>
      <c r="J5" s="1"/>
      <c r="K5" s="7" t="str" cm="1">
        <f t="array" ref="K5">ANTWORTEMAIL(F5,G5,H5,I5,J5,B5)</f>
        <v>Hallo Paul Schneider, _x000D_
_x000D_
 Vielen Dank für ihre Bestellung _x000D_
Bestelltes Produkt: 3 x Pflegespülung Kokostraum_x000D_
Bestellwert: Versandkosten: 0Gesamtkosten: _x000D_
Mit freundlichen Grüßen Bravo</v>
      </c>
    </row>
    <row r="6" spans="1:11" x14ac:dyDescent="0.25">
      <c r="A6" s="2">
        <v>44403</v>
      </c>
      <c r="B6" s="1" t="s">
        <v>28</v>
      </c>
      <c r="C6" s="7" t="str" cm="1">
        <f t="array" ref="C6">Vornamen(B6)</f>
        <v>Paul</v>
      </c>
      <c r="D6" s="7" t="str" cm="1">
        <f t="array" ref="D6">NACHNAME(B6)</f>
        <v>Schneider</v>
      </c>
      <c r="E6" s="4" t="s">
        <v>31</v>
      </c>
      <c r="F6" s="1" t="s">
        <v>27</v>
      </c>
      <c r="G6" s="1">
        <v>1</v>
      </c>
      <c r="H6" s="10">
        <f t="shared" si="0"/>
        <v>9.9499999999999993</v>
      </c>
      <c r="I6" s="7" cm="1">
        <f t="array" ref="I6">VERSAND(F6,H6)</f>
        <v>4.99</v>
      </c>
      <c r="J6" s="1"/>
      <c r="K6" s="7" t="str" cm="1">
        <f t="array" ref="K6">ANTWORTEMAIL(F6,G6,H6,I6,J6,B6)</f>
        <v>Hallo Paul Schneider, _x000D_
_x000D_
 Vielen Dank für ihre Bestellung _x000D_
Bestelltes Produkt: 1 x Antischuppen Spezial_x000D_
Bestellwert: Versandkosten: 4,99Gesamtkosten: _x000D_
Mit freundlichen Grüßen Bravo</v>
      </c>
    </row>
    <row r="7" spans="1:11" x14ac:dyDescent="0.25">
      <c r="A7" s="2">
        <v>44403</v>
      </c>
      <c r="B7" s="1" t="s">
        <v>28</v>
      </c>
      <c r="C7" s="7" t="str" cm="1">
        <f t="array" ref="C7">Vornamen(B7)</f>
        <v>Paul</v>
      </c>
      <c r="D7" s="7" t="str" cm="1">
        <f t="array" ref="D7">NACHNAME(B7)</f>
        <v>Schneider</v>
      </c>
      <c r="E7" s="4" t="s">
        <v>31</v>
      </c>
      <c r="F7" s="1" t="s">
        <v>5</v>
      </c>
      <c r="G7" s="1">
        <v>2</v>
      </c>
      <c r="H7" s="10">
        <f t="shared" si="0"/>
        <v>19.899999999999999</v>
      </c>
      <c r="I7" s="7" cm="1">
        <f t="array" ref="I7">VERSAND(F7,H7)</f>
        <v>0</v>
      </c>
      <c r="J7" s="1"/>
      <c r="K7" s="7" t="str" cm="1">
        <f t="array" ref="K7">ANTWORTEMAIL(F7,G7,H7,I7,J7,B7)</f>
        <v>Hallo Paul Schneider, _x000D_
_x000D_
 Vielen Dank für ihre Bestellung _x000D_
Bestelltes Produkt: 2 x Conditioner Tropical Pro_x000D_
Bestellwert: Versandkosten: 0Gesamtkosten: _x000D_
Mit freundlichen Grüßen Bravo</v>
      </c>
    </row>
    <row r="8" spans="1:11" x14ac:dyDescent="0.25">
      <c r="A8" s="2">
        <v>44404</v>
      </c>
      <c r="B8" s="1" t="s">
        <v>32</v>
      </c>
      <c r="C8" s="7" t="str" cm="1">
        <f t="array" ref="C8">Vornamen(B8)</f>
        <v>Peter</v>
      </c>
      <c r="D8" s="7" t="str" cm="1">
        <f t="array" ref="D8">NACHNAME(B8)</f>
        <v>Fischer</v>
      </c>
      <c r="E8" s="4" t="s">
        <v>35</v>
      </c>
      <c r="F8" s="1" t="s">
        <v>2</v>
      </c>
      <c r="G8" s="1">
        <v>1</v>
      </c>
      <c r="H8" s="10">
        <f t="shared" si="0"/>
        <v>9.9499999999999993</v>
      </c>
      <c r="I8" s="7" cm="1">
        <f t="array" ref="I8">VERSAND(F8,H8)</f>
        <v>4.99</v>
      </c>
      <c r="J8" s="1"/>
      <c r="K8" s="7" t="str" cm="1">
        <f t="array" ref="K8">ANTWORTEMAIL(F8,G8,H8,I8,J8,B8)</f>
        <v>Hallo Peter Fischer, _x000D_
_x000D_
 Vielen Dank für ihre Bestellung _x000D_
Bestelltes Produkt: 1 x Shampoo Sensitive Plus_x000D_
Bestellwert: Versandkosten: 4,99Gesamtkosten: _x000D_
Mit freundlichen Grüßen Bravo</v>
      </c>
    </row>
    <row r="9" spans="1:11" x14ac:dyDescent="0.25">
      <c r="A9" s="2">
        <v>44405</v>
      </c>
      <c r="B9" s="1" t="s">
        <v>36</v>
      </c>
      <c r="C9" s="7" t="str" cm="1">
        <f t="array" ref="C9">Vornamen(B9)</f>
        <v>Hanna</v>
      </c>
      <c r="D9" s="7" t="str" cm="1">
        <f t="array" ref="D9">NACHNAME(B9)</f>
        <v>Weber</v>
      </c>
      <c r="E9" s="4" t="s">
        <v>39</v>
      </c>
      <c r="F9" s="1" t="s">
        <v>2</v>
      </c>
      <c r="G9" s="1">
        <v>7</v>
      </c>
      <c r="H9" s="10">
        <f t="shared" si="0"/>
        <v>69.649999999999991</v>
      </c>
      <c r="I9" s="7" cm="1">
        <f t="array" ref="I9">VERSAND(F9,H9)</f>
        <v>0</v>
      </c>
      <c r="J9" s="1"/>
      <c r="K9" s="7" t="str" cm="1">
        <f t="array" ref="K9">ANTWORTEMAIL(F9,G9,H9,I9,J9,B9)</f>
        <v>Hallo Hanna Weber, _x000D_
_x000D_
 Vielen Dank für ihre Bestellung _x000D_
Bestelltes Produkt: 7 x Shampoo Sensitive Plus_x000D_
Bestellwert: Versandkosten: 0Gesamtkosten: _x000D_
Mit freundlichen Grüßen Bravo</v>
      </c>
    </row>
    <row r="10" spans="1:11" x14ac:dyDescent="0.25">
      <c r="A10" s="2">
        <v>44405</v>
      </c>
      <c r="B10" s="1" t="s">
        <v>40</v>
      </c>
      <c r="C10" s="7" t="str" cm="1">
        <f t="array" ref="C10">Vornamen(B10)</f>
        <v>Mila</v>
      </c>
      <c r="D10" s="7" t="str" cm="1">
        <f t="array" ref="D10">NACHNAME(B10)</f>
        <v>Richter</v>
      </c>
      <c r="E10" s="4" t="s">
        <v>43</v>
      </c>
      <c r="F10" s="1" t="s">
        <v>5</v>
      </c>
      <c r="G10" s="1">
        <v>3</v>
      </c>
      <c r="H10" s="10">
        <f t="shared" si="0"/>
        <v>29.849999999999998</v>
      </c>
      <c r="I10" s="7" cm="1">
        <f t="array" ref="I10">VERSAND(F10,H10)</f>
        <v>0</v>
      </c>
      <c r="J10" s="1"/>
      <c r="K10" s="7" t="str" cm="1">
        <f t="array" ref="K10">ANTWORTEMAIL(F10,G10,H10,I10,J10,B10)</f>
        <v>Hallo Mila Richter, _x000D_
_x000D_
 Vielen Dank für ihre Bestellung _x000D_
Bestelltes Produkt: 3 x Conditioner Tropical Pro_x000D_
Bestellwert: Versandkosten: 0Gesamtkosten: _x000D_
Mit freundlichen Grüßen Bravo</v>
      </c>
    </row>
    <row r="11" spans="1:11" x14ac:dyDescent="0.25">
      <c r="A11" s="2">
        <v>44405</v>
      </c>
      <c r="B11" s="1" t="s">
        <v>40</v>
      </c>
      <c r="C11" s="7" t="str" cm="1">
        <f t="array" ref="C11">Vornamen(B11)</f>
        <v>Mila</v>
      </c>
      <c r="D11" s="7" t="str" cm="1">
        <f t="array" ref="D11">NACHNAME(B11)</f>
        <v>Richter</v>
      </c>
      <c r="E11" s="4" t="s">
        <v>43</v>
      </c>
      <c r="F11" s="1" t="s">
        <v>3</v>
      </c>
      <c r="G11" s="1">
        <v>3</v>
      </c>
      <c r="H11" s="10">
        <f t="shared" si="0"/>
        <v>29.849999999999998</v>
      </c>
      <c r="I11" s="7" cm="1">
        <f t="array" ref="I11">VERSAND(F11,H11)</f>
        <v>0</v>
      </c>
      <c r="J11" s="1"/>
      <c r="K11" s="7" t="str" cm="1">
        <f t="array" ref="K11">ANTWORTEMAIL(F11,G11,H11,I11,J11,B11)</f>
        <v>Hallo Mila Richter, _x000D_
_x000D_
 Vielen Dank für ihre Bestellung _x000D_
Bestelltes Produkt: 3 x Pflegespülung Kokostraum_x000D_
Bestellwert: Versandkosten: 0Gesamtkosten: _x000D_
Mit freundlichen Grüßen Bravo</v>
      </c>
    </row>
    <row r="12" spans="1:11" x14ac:dyDescent="0.25">
      <c r="A12" s="2">
        <v>44408</v>
      </c>
      <c r="B12" s="1" t="s">
        <v>44</v>
      </c>
      <c r="C12" s="7" t="str" cm="1">
        <f t="array" ref="C12">Vornamen(B12)</f>
        <v>Felix</v>
      </c>
      <c r="D12" s="7" t="str" cm="1">
        <f t="array" ref="D12">NACHNAME(B12)</f>
        <v>Klein</v>
      </c>
      <c r="E12" s="4" t="s">
        <v>47</v>
      </c>
      <c r="F12" s="1" t="s">
        <v>3</v>
      </c>
      <c r="G12" s="1">
        <v>1</v>
      </c>
      <c r="H12" s="10">
        <f t="shared" si="0"/>
        <v>9.9499999999999993</v>
      </c>
      <c r="I12" s="7" cm="1">
        <f t="array" ref="I12">VERSAND(F12,H12)</f>
        <v>4.99</v>
      </c>
      <c r="J12" s="1"/>
      <c r="K12" s="7" t="str" cm="1">
        <f t="array" ref="K12">ANTWORTEMAIL(F12,G12,H12,I12,J12,B12)</f>
        <v>Hallo Felix Klein, _x000D_
_x000D_
 Vielen Dank für ihre Bestellung _x000D_
Bestelltes Produkt: 1 x Pflegespülung Kokostraum_x000D_
Bestellwert: Versandkosten: 4,99Gesamtkosten: _x000D_
Mit freundlichen Grüßen Bravo</v>
      </c>
    </row>
    <row r="13" spans="1:11" x14ac:dyDescent="0.25">
      <c r="A13" s="2">
        <v>44409</v>
      </c>
      <c r="B13" s="1" t="s">
        <v>48</v>
      </c>
      <c r="C13" s="7" t="str" cm="1">
        <f t="array" ref="C13">Vornamen(B13)</f>
        <v>Emma</v>
      </c>
      <c r="D13" s="7" t="str" cm="1">
        <f t="array" ref="D13">NACHNAME(B13)</f>
        <v>Schäfer</v>
      </c>
      <c r="E13" s="4" t="s">
        <v>51</v>
      </c>
      <c r="F13" s="1" t="s">
        <v>5</v>
      </c>
      <c r="G13" s="1">
        <v>1</v>
      </c>
      <c r="H13" s="10">
        <f t="shared" si="0"/>
        <v>9.9499999999999993</v>
      </c>
      <c r="I13" s="7" cm="1">
        <f t="array" ref="I13">VERSAND(F13,H13)</f>
        <v>0</v>
      </c>
      <c r="J13" s="1"/>
      <c r="K13" s="7" t="str" cm="1">
        <f t="array" ref="K13">ANTWORTEMAIL(F13,G13,H13,I13,J13,B13)</f>
        <v>Hallo Emma Schäfer, _x000D_
_x000D_
 Vielen Dank für ihre Bestellung _x000D_
Bestelltes Produkt: 1 x Conditioner Tropical Pro_x000D_
Bestellwert: Versandkosten: 0Gesamtkosten: _x000D_
Mit freundlichen Grüßen Bravo</v>
      </c>
    </row>
    <row r="14" spans="1:11" x14ac:dyDescent="0.25">
      <c r="A14" s="2">
        <v>44409</v>
      </c>
      <c r="B14" s="1" t="s">
        <v>48</v>
      </c>
      <c r="C14" s="7" t="str" cm="1">
        <f t="array" ref="C14">Vornamen(B14)</f>
        <v>Emma</v>
      </c>
      <c r="D14" s="7" t="str" cm="1">
        <f t="array" ref="D14">NACHNAME(B14)</f>
        <v>Schäfer</v>
      </c>
      <c r="E14" s="4" t="s">
        <v>51</v>
      </c>
      <c r="F14" s="1" t="s">
        <v>3</v>
      </c>
      <c r="G14" s="1">
        <v>2</v>
      </c>
      <c r="H14" s="10">
        <f t="shared" si="0"/>
        <v>19.899999999999999</v>
      </c>
      <c r="I14" s="7" cm="1">
        <f t="array" ref="I14">VERSAND(F14,H14)</f>
        <v>4.99</v>
      </c>
      <c r="J14" s="1"/>
      <c r="K14" s="7" t="str" cm="1">
        <f t="array" ref="K14">ANTWORTEMAIL(F14,G14,H14,I14,J14,B14)</f>
        <v>Hallo Emma Schäfer, _x000D_
_x000D_
 Vielen Dank für ihre Bestellung _x000D_
Bestelltes Produkt: 2 x Pflegespülung Kokostraum_x000D_
Bestellwert: Versandkosten: 4,99Gesamtkosten: _x000D_
Mit freundlichen Grüßen Bravo</v>
      </c>
    </row>
    <row r="15" spans="1:11" x14ac:dyDescent="0.25">
      <c r="A15" s="2">
        <v>44409</v>
      </c>
      <c r="B15" s="1" t="s">
        <v>52</v>
      </c>
      <c r="C15" s="7" t="str" cm="1">
        <f t="array" ref="C15">Vornamen(B15)</f>
        <v>Ben</v>
      </c>
      <c r="D15" s="7" t="str" cm="1">
        <f t="array" ref="D15">NACHNAME(B15)</f>
        <v>Koch</v>
      </c>
      <c r="E15" s="4" t="s">
        <v>55</v>
      </c>
      <c r="F15" s="1" t="s">
        <v>2</v>
      </c>
      <c r="G15" s="1">
        <v>1</v>
      </c>
      <c r="H15" s="10">
        <f t="shared" si="0"/>
        <v>9.9499999999999993</v>
      </c>
      <c r="I15" s="7" cm="1">
        <f t="array" ref="I15">VERSAND(F15,H15)</f>
        <v>4.99</v>
      </c>
      <c r="J15" s="1"/>
      <c r="K15" s="7" t="str" cm="1">
        <f t="array" ref="K15">ANTWORTEMAIL(F15,G15,H15,I15,J15,B15)</f>
        <v>Hallo Ben Koch, _x000D_
_x000D_
 Vielen Dank für ihre Bestellung _x000D_
Bestelltes Produkt: 1 x Shampoo Sensitive Plus_x000D_
Bestellwert: Versandkosten: 4,99Gesamtkosten: _x000D_
Mit freundlichen Grüßen Bravo</v>
      </c>
    </row>
    <row r="16" spans="1:11" x14ac:dyDescent="0.25">
      <c r="A16" s="2">
        <v>44409</v>
      </c>
      <c r="B16" s="1" t="s">
        <v>32</v>
      </c>
      <c r="C16" s="7" t="str" cm="1">
        <f t="array" ref="C16">Vornamen(B16)</f>
        <v>Peter</v>
      </c>
      <c r="D16" s="7" t="str" cm="1">
        <f t="array" ref="D16">NACHNAME(B16)</f>
        <v>Fischer</v>
      </c>
      <c r="E16" s="4" t="s">
        <v>35</v>
      </c>
      <c r="F16" s="1" t="s">
        <v>2</v>
      </c>
      <c r="G16" s="1">
        <v>2</v>
      </c>
      <c r="H16" s="10">
        <f t="shared" si="0"/>
        <v>19.899999999999999</v>
      </c>
      <c r="I16" s="7" cm="1">
        <f t="array" ref="I16">VERSAND(F16,H16)</f>
        <v>4.99</v>
      </c>
      <c r="J16" s="1"/>
      <c r="K16" s="7" t="str" cm="1">
        <f t="array" ref="K16">ANTWORTEMAIL(F16,G16,H16,I16,J16,B16)</f>
        <v>Hallo Peter Fischer, _x000D_
_x000D_
 Vielen Dank für ihre Bestellung _x000D_
Bestelltes Produkt: 2 x Shampoo Sensitive Plus_x000D_
Bestellwert: Versandkosten: 4,99Gesamtkosten: _x000D_
Mit freundlichen Grüßen Bravo</v>
      </c>
    </row>
    <row r="17" spans="1:11" x14ac:dyDescent="0.25">
      <c r="A17" s="2">
        <v>44410</v>
      </c>
      <c r="B17" s="1" t="s">
        <v>56</v>
      </c>
      <c r="C17" s="7" t="str" cm="1">
        <f t="array" ref="C17">Vornamen(B17)</f>
        <v>Michael</v>
      </c>
      <c r="D17" s="7" t="str" cm="1">
        <f t="array" ref="D17">NACHNAME(B17)</f>
        <v>Meier</v>
      </c>
      <c r="E17" s="4" t="s">
        <v>59</v>
      </c>
      <c r="F17" s="1" t="s">
        <v>2</v>
      </c>
      <c r="G17" s="1">
        <v>2</v>
      </c>
      <c r="H17" s="10">
        <f t="shared" si="0"/>
        <v>19.899999999999999</v>
      </c>
      <c r="I17" s="7" cm="1">
        <f t="array" ref="I17">VERSAND(F17,H17)</f>
        <v>4.99</v>
      </c>
      <c r="J17" s="1"/>
      <c r="K17" s="7" t="str" cm="1">
        <f t="array" ref="K17">ANTWORTEMAIL(F17,G17,H17,I17,J17,B17)</f>
        <v>Hallo Michael Meier, _x000D_
_x000D_
 Vielen Dank für ihre Bestellung _x000D_
Bestelltes Produkt: 2 x Shampoo Sensitive Plus_x000D_
Bestellwert: Versandkosten: 4,99Gesamtkosten: _x000D_
Mit freundlichen Grüßen Bravo</v>
      </c>
    </row>
    <row r="18" spans="1:11" x14ac:dyDescent="0.25">
      <c r="A18" s="2">
        <v>44410</v>
      </c>
      <c r="B18" s="1" t="s">
        <v>56</v>
      </c>
      <c r="C18" s="7" t="str" cm="1">
        <f t="array" ref="C18">Vornamen(B18)</f>
        <v>Michael</v>
      </c>
      <c r="D18" s="7" t="str" cm="1">
        <f t="array" ref="D18">NACHNAME(B18)</f>
        <v>Meier</v>
      </c>
      <c r="E18" s="4" t="s">
        <v>59</v>
      </c>
      <c r="F18" s="1" t="s">
        <v>3</v>
      </c>
      <c r="G18" s="1">
        <v>1</v>
      </c>
      <c r="H18" s="10">
        <f t="shared" si="0"/>
        <v>9.9499999999999993</v>
      </c>
      <c r="I18" s="7" cm="1">
        <f t="array" ref="I18">VERSAND(F18,H18)</f>
        <v>4.99</v>
      </c>
      <c r="J18" s="1"/>
      <c r="K18" s="7" t="str" cm="1">
        <f t="array" ref="K18">ANTWORTEMAIL(F18,G18,H18,I18,J18,B18)</f>
        <v>Hallo Michael Meier, _x000D_
_x000D_
 Vielen Dank für ihre Bestellung _x000D_
Bestelltes Produkt: 1 x Pflegespülung Kokostraum_x000D_
Bestellwert: Versandkosten: 4,99Gesamtkosten: _x000D_
Mit freundlichen Grüßen Bravo</v>
      </c>
    </row>
    <row r="19" spans="1:11" x14ac:dyDescent="0.25">
      <c r="A19" s="2">
        <v>44410</v>
      </c>
      <c r="B19" s="1" t="s">
        <v>60</v>
      </c>
      <c r="C19" s="7" t="str" cm="1">
        <f t="array" ref="C19">Vornamen(B19)</f>
        <v>Franziska</v>
      </c>
      <c r="D19" s="7" t="str" cm="1">
        <f t="array" ref="D19">NACHNAME(B19)</f>
        <v>Kleinhans</v>
      </c>
      <c r="E19" s="4" t="s">
        <v>63</v>
      </c>
      <c r="F19" s="1" t="s">
        <v>2</v>
      </c>
      <c r="G19" s="1">
        <v>3</v>
      </c>
      <c r="H19" s="10">
        <f t="shared" si="0"/>
        <v>29.849999999999998</v>
      </c>
      <c r="I19" s="7" cm="1">
        <f t="array" ref="I19">VERSAND(F19,H19)</f>
        <v>0</v>
      </c>
      <c r="J19" s="1"/>
      <c r="K19" s="7" t="str" cm="1">
        <f t="array" ref="K19">ANTWORTEMAIL(F19,G19,H19,I19,J19,B19)</f>
        <v>Hallo Franziska Kleinhans, _x000D_
_x000D_
 Vielen Dank für ihre Bestellung _x000D_
Bestelltes Produkt: 3 x Shampoo Sensitive Plus_x000D_
Bestellwert: Versandkosten: 0Gesamtkosten: _x000D_
Mit freundlichen Grüßen Bravo</v>
      </c>
    </row>
    <row r="20" spans="1:11" x14ac:dyDescent="0.25">
      <c r="A20" s="2">
        <v>44410</v>
      </c>
      <c r="B20" s="1" t="s">
        <v>60</v>
      </c>
      <c r="C20" s="7" t="str" cm="1">
        <f t="array" ref="C20">Vornamen(B20)</f>
        <v>Franziska</v>
      </c>
      <c r="D20" s="7" t="str" cm="1">
        <f t="array" ref="D20">NACHNAME(B20)</f>
        <v>Kleinhans</v>
      </c>
      <c r="E20" s="4" t="s">
        <v>63</v>
      </c>
      <c r="F20" s="1" t="s">
        <v>5</v>
      </c>
      <c r="G20" s="1">
        <v>4</v>
      </c>
      <c r="H20" s="10">
        <f t="shared" si="0"/>
        <v>39.799999999999997</v>
      </c>
      <c r="I20" s="7" cm="1">
        <f t="array" ref="I20">VERSAND(F20,H20)</f>
        <v>0</v>
      </c>
      <c r="J20" s="1"/>
      <c r="K20" s="7" t="str" cm="1">
        <f t="array" ref="K20">ANTWORTEMAIL(F20,G20,H20,I20,J20,B20)</f>
        <v>Hallo Franziska Kleinhans, _x000D_
_x000D_
 Vielen Dank für ihre Bestellung _x000D_
Bestelltes Produkt: 4 x Conditioner Tropical Pro_x000D_
Bestellwert: Versandkosten: 0Gesamtkosten: _x000D_
Mit freundlichen Grüßen Bravo</v>
      </c>
    </row>
    <row r="21" spans="1:11" x14ac:dyDescent="0.25">
      <c r="A21" s="2">
        <v>44411</v>
      </c>
      <c r="B21" s="1" t="s">
        <v>64</v>
      </c>
      <c r="C21" s="7" t="str" cm="1">
        <f t="array" ref="C21">Vornamen(B21)</f>
        <v>Emanuel</v>
      </c>
      <c r="D21" s="7" t="str" cm="1">
        <f t="array" ref="D21">NACHNAME(B21)</f>
        <v>Burkhardt</v>
      </c>
      <c r="E21" s="4" t="s">
        <v>67</v>
      </c>
      <c r="F21" s="1" t="s">
        <v>3</v>
      </c>
      <c r="G21" s="1">
        <v>5</v>
      </c>
      <c r="H21" s="10">
        <f t="shared" si="0"/>
        <v>49.75</v>
      </c>
      <c r="I21" s="7" cm="1">
        <f t="array" ref="I21">VERSAND(F21,H21)</f>
        <v>0</v>
      </c>
      <c r="J21" s="1"/>
      <c r="K21" s="7" t="str" cm="1">
        <f t="array" ref="K21">ANTWORTEMAIL(F21,G21,H21,I21,J21,B21)</f>
        <v>Hallo Emanuel Burkhardt, _x000D_
_x000D_
 Vielen Dank für ihre Bestellung _x000D_
Bestelltes Produkt: 5 x Pflegespülung Kokostraum_x000D_
Bestellwert: Versandkosten: 0Gesamtkosten: _x000D_
Mit freundlichen Grüßen Bravo</v>
      </c>
    </row>
    <row r="22" spans="1:11" x14ac:dyDescent="0.25">
      <c r="A22" s="2">
        <v>44411</v>
      </c>
      <c r="B22" s="1" t="s">
        <v>68</v>
      </c>
      <c r="C22" s="7" t="str" cm="1">
        <f t="array" ref="C22">Vornamen(B22)</f>
        <v>Sieglinde</v>
      </c>
      <c r="D22" s="7" t="str" cm="1">
        <f t="array" ref="D22">NACHNAME(B22)</f>
        <v>Freimoser</v>
      </c>
      <c r="E22" s="4" t="s">
        <v>71</v>
      </c>
      <c r="F22" s="1" t="s">
        <v>3</v>
      </c>
      <c r="G22" s="1">
        <v>6</v>
      </c>
      <c r="H22" s="10">
        <f t="shared" si="0"/>
        <v>59.699999999999996</v>
      </c>
      <c r="I22" s="7" cm="1">
        <f t="array" ref="I22">VERSAND(F22,H22)</f>
        <v>0</v>
      </c>
      <c r="J22" s="1"/>
      <c r="K22" s="7" t="str" cm="1">
        <f t="array" ref="K22">ANTWORTEMAIL(F22,G22,H22,I22,J22,B22)</f>
        <v>Hallo Sieglinde Freimoser, _x000D_
_x000D_
 Vielen Dank für ihre Bestellung _x000D_
Bestelltes Produkt: 6 x Pflegespülung Kokostraum_x000D_
Bestellwert: Versandkosten: 0Gesamtkosten: _x000D_
Mit freundlichen Grüßen Bravo</v>
      </c>
    </row>
    <row r="23" spans="1:11" x14ac:dyDescent="0.25">
      <c r="A23" s="2">
        <v>44413</v>
      </c>
      <c r="B23" s="1" t="s">
        <v>72</v>
      </c>
      <c r="C23" s="7" t="str" cm="1">
        <f t="array" ref="C23">Vornamen(B23)</f>
        <v>Fred</v>
      </c>
      <c r="D23" s="7" t="str" cm="1">
        <f t="array" ref="D23">NACHNAME(B23)</f>
        <v>Smith</v>
      </c>
      <c r="E23" s="4" t="s">
        <v>75</v>
      </c>
      <c r="F23" s="1" t="s">
        <v>5</v>
      </c>
      <c r="G23" s="1">
        <v>2</v>
      </c>
      <c r="H23" s="10">
        <f t="shared" si="0"/>
        <v>19.899999999999999</v>
      </c>
      <c r="I23" s="7" cm="1">
        <f t="array" ref="I23">VERSAND(F23,H23)</f>
        <v>0</v>
      </c>
      <c r="J23" s="1"/>
      <c r="K23" s="7" t="str" cm="1">
        <f t="array" ref="K23">ANTWORTEMAIL(F23,G23,H23,I23,J23,B23)</f>
        <v>Hallo Fred Smith, _x000D_
_x000D_
 Vielen Dank für ihre Bestellung _x000D_
Bestelltes Produkt: 2 x Conditioner Tropical Pro_x000D_
Bestellwert: Versandkosten: 0Gesamtkosten: _x000D_
Mit freundlichen Grüßen Bravo</v>
      </c>
    </row>
    <row r="24" spans="1:11" x14ac:dyDescent="0.25">
      <c r="A24" s="2">
        <v>44413</v>
      </c>
      <c r="B24" s="1" t="s">
        <v>76</v>
      </c>
      <c r="C24" s="7" t="str" cm="1">
        <f t="array" ref="C24">Vornamen(B24)</f>
        <v>Emil</v>
      </c>
      <c r="D24" s="7" t="str" cm="1">
        <f t="array" ref="D24">NACHNAME(B24)</f>
        <v>Kästner</v>
      </c>
      <c r="E24" s="4" t="s">
        <v>79</v>
      </c>
      <c r="F24" s="1" t="s">
        <v>5</v>
      </c>
      <c r="G24" s="1">
        <v>3</v>
      </c>
      <c r="H24" s="10">
        <f t="shared" si="0"/>
        <v>29.849999999999998</v>
      </c>
      <c r="I24" s="7" cm="1">
        <f t="array" ref="I24">VERSAND(F24,H24)</f>
        <v>0</v>
      </c>
      <c r="J24" s="1"/>
      <c r="K24" s="7" t="str" cm="1">
        <f t="array" ref="K24">ANTWORTEMAIL(F24,G24,H24,I24,J24,B24)</f>
        <v>Hallo Emil Kästner, _x000D_
_x000D_
 Vielen Dank für ihre Bestellung _x000D_
Bestelltes Produkt: 3 x Conditioner Tropical Pro_x000D_
Bestellwert: Versandkosten: 0Gesamtkosten: _x000D_
Mit freundlichen Grüßen Bravo</v>
      </c>
    </row>
    <row r="25" spans="1:11" x14ac:dyDescent="0.25">
      <c r="A25" s="2">
        <v>44413</v>
      </c>
      <c r="B25" s="1" t="s">
        <v>80</v>
      </c>
      <c r="C25" s="7" t="str" cm="1">
        <f t="array" ref="C25">Vornamen(B25)</f>
        <v>Katharina</v>
      </c>
      <c r="D25" s="7" t="str" cm="1">
        <f t="array" ref="D25">NACHNAME(B25)</f>
        <v>Freitag</v>
      </c>
      <c r="E25" s="4" t="s">
        <v>83</v>
      </c>
      <c r="F25" s="1" t="s">
        <v>5</v>
      </c>
      <c r="G25" s="1">
        <v>4</v>
      </c>
      <c r="H25" s="10">
        <f t="shared" si="0"/>
        <v>39.799999999999997</v>
      </c>
      <c r="I25" s="7" cm="1">
        <f t="array" ref="I25">VERSAND(F25,H25)</f>
        <v>0</v>
      </c>
      <c r="J25" s="1"/>
      <c r="K25" s="7" t="str" cm="1">
        <f t="array" ref="K25">ANTWORTEMAIL(F25,G25,H25,I25,J25,B25)</f>
        <v>Hallo Katharina Freitag, _x000D_
_x000D_
 Vielen Dank für ihre Bestellung _x000D_
Bestelltes Produkt: 4 x Conditioner Tropical Pro_x000D_
Bestellwert: Versandkosten: 0Gesamtkosten: _x000D_
Mit freundlichen Grüßen Bravo</v>
      </c>
    </row>
    <row r="26" spans="1:11" x14ac:dyDescent="0.25">
      <c r="A26" s="2">
        <v>44413</v>
      </c>
      <c r="B26" s="1" t="s">
        <v>80</v>
      </c>
      <c r="C26" s="7" t="str" cm="1">
        <f t="array" ref="C26">Vornamen(B26)</f>
        <v>Katharina</v>
      </c>
      <c r="D26" s="7" t="str" cm="1">
        <f t="array" ref="D26">NACHNAME(B26)</f>
        <v>Freitag</v>
      </c>
      <c r="E26" s="4" t="s">
        <v>83</v>
      </c>
      <c r="F26" s="1" t="s">
        <v>2</v>
      </c>
      <c r="G26" s="1">
        <v>1</v>
      </c>
      <c r="H26" s="10">
        <f t="shared" si="0"/>
        <v>9.9499999999999993</v>
      </c>
      <c r="I26" s="7" cm="1">
        <f t="array" ref="I26">VERSAND(F26,H26)</f>
        <v>4.99</v>
      </c>
      <c r="J26" s="1"/>
      <c r="K26" s="7" t="str" cm="1">
        <f t="array" ref="K26">ANTWORTEMAIL(F26,G26,H26,I26,J26,B26)</f>
        <v>Hallo Katharina Freitag, _x000D_
_x000D_
 Vielen Dank für ihre Bestellung _x000D_
Bestelltes Produkt: 1 x Shampoo Sensitive Plus_x000D_
Bestellwert: Versandkosten: 4,99Gesamtkosten: _x000D_
Mit freundlichen Grüßen Bravo</v>
      </c>
    </row>
    <row r="29" spans="1:11" x14ac:dyDescent="0.25">
      <c r="C29"/>
    </row>
  </sheetData>
  <hyperlinks>
    <hyperlink ref="E22" r:id="rId1" xr:uid="{357A532A-D55F-4E97-A53F-A5EF1C29A376}"/>
    <hyperlink ref="E26" r:id="rId2" xr:uid="{C294A99B-8951-4AFA-83AB-86FB83722536}"/>
    <hyperlink ref="E25" r:id="rId3" xr:uid="{200D6166-2BCC-4D34-AF3B-D900B461601F}"/>
    <hyperlink ref="E24" r:id="rId4" xr:uid="{95D5B211-A962-4E5B-A341-F818D3446207}"/>
    <hyperlink ref="E23" r:id="rId5" xr:uid="{99C9F3A5-B792-4A4E-A42A-0A94C241002D}"/>
    <hyperlink ref="E21" r:id="rId6" xr:uid="{9E3F74DD-6170-4429-86CD-C373FC8826AA}"/>
    <hyperlink ref="E20" r:id="rId7" xr:uid="{29AB6A43-ED53-43A3-A3DC-12D0A9E217CE}"/>
    <hyperlink ref="E19" r:id="rId8" xr:uid="{3FA1AD7D-C501-4095-8DE3-420FAD0657DD}"/>
    <hyperlink ref="E18" r:id="rId9" xr:uid="{5194ED51-2C0F-4B7B-9D66-0DF5200A19EC}"/>
    <hyperlink ref="E17" r:id="rId10" xr:uid="{6DC86B36-F3EB-412D-805E-0FB6D9BB3AB6}"/>
    <hyperlink ref="E11" r:id="rId11" xr:uid="{77510349-ED86-4C29-94C8-88F6B5D2CE60}"/>
    <hyperlink ref="E10" r:id="rId12" xr:uid="{A66E453E-6937-4673-97C7-02F56F41F830}"/>
    <hyperlink ref="E9" r:id="rId13" xr:uid="{A3B9A30C-23B6-4E4E-A53F-C05C699FC00C}"/>
    <hyperlink ref="E8" r:id="rId14" xr:uid="{348DCF42-3EC1-4077-9C8B-E72F6C5F2A8E}"/>
    <hyperlink ref="E7" r:id="rId15" xr:uid="{33286073-C2E3-42C4-BE08-F2BA90CE6B8A}"/>
    <hyperlink ref="E6" r:id="rId16" xr:uid="{6E263222-CD21-4B52-A7F3-14619D471344}"/>
    <hyperlink ref="E5" r:id="rId17" xr:uid="{034DAB15-D50B-478C-8CE2-2FA7F659FBA5}"/>
    <hyperlink ref="E4" r:id="rId18" xr:uid="{0A668820-BE06-4390-830D-F428857EC03D}"/>
    <hyperlink ref="E14" r:id="rId19" xr:uid="{D745D8CF-6610-4C2C-A83C-DF0A6C4C6A58}"/>
    <hyperlink ref="E13" r:id="rId20" xr:uid="{409BC682-222F-4936-874A-79775E300BB4}"/>
    <hyperlink ref="E15" r:id="rId21" xr:uid="{E5069BB0-BF66-4E0D-A818-8130FF3AE497}"/>
    <hyperlink ref="E16" r:id="rId22" xr:uid="{70E351B9-578B-4959-BCF8-8BEEBCAF8CED}"/>
    <hyperlink ref="E12" r:id="rId23" xr:uid="{574D5BF1-1CBF-4E56-86EF-C5713F87AE97}"/>
    <hyperlink ref="E3" r:id="rId24" xr:uid="{25C7D684-FBBB-47DA-B319-379FE19FFCA5}"/>
    <hyperlink ref="E2" r:id="rId25" xr:uid="{227CB55A-1DAC-4413-AE75-D5FD5D810270}"/>
  </hyperlinks>
  <pageMargins left="0.7" right="0.7" top="0.78740157499999996" bottom="0.78740157499999996" header="0.3" footer="0.3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28" name="Button 2">
              <controlPr defaultSize="0" print="0" autoFill="0" autoPict="0" macro="[0]!FormularOeffnen">
                <anchor moveWithCells="1">
                  <from>
                    <xdr:col>4</xdr:col>
                    <xdr:colOff>819150</xdr:colOff>
                    <xdr:row>29</xdr:row>
                    <xdr:rowOff>9525</xdr:rowOff>
                  </from>
                  <to>
                    <xdr:col>5</xdr:col>
                    <xdr:colOff>285750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7A3ED-C1D1-4730-A58E-349F01C6AD3F}">
  <sheetPr codeName="Tabelle26"/>
  <dimension ref="A1:E18"/>
  <sheetViews>
    <sheetView workbookViewId="0"/>
  </sheetViews>
  <sheetFormatPr baseColWidth="10" defaultRowHeight="15" x14ac:dyDescent="0.25"/>
  <sheetData>
    <row r="1" spans="1:5" x14ac:dyDescent="0.25">
      <c r="A1" t="s">
        <v>84</v>
      </c>
      <c r="B1" t="s">
        <v>8</v>
      </c>
      <c r="C1" t="s">
        <v>9</v>
      </c>
      <c r="D1" t="s">
        <v>85</v>
      </c>
      <c r="E1" t="s">
        <v>86</v>
      </c>
    </row>
    <row r="2" spans="1:5" x14ac:dyDescent="0.25">
      <c r="A2" t="s">
        <v>16</v>
      </c>
      <c r="B2" t="s">
        <v>17</v>
      </c>
      <c r="C2" t="s">
        <v>18</v>
      </c>
      <c r="D2">
        <v>1</v>
      </c>
      <c r="E2" t="s">
        <v>87</v>
      </c>
    </row>
    <row r="3" spans="1:5" x14ac:dyDescent="0.25">
      <c r="A3" t="s">
        <v>20</v>
      </c>
      <c r="B3" t="s">
        <v>21</v>
      </c>
      <c r="C3" t="s">
        <v>22</v>
      </c>
      <c r="D3">
        <v>1</v>
      </c>
      <c r="E3" t="s">
        <v>87</v>
      </c>
    </row>
    <row r="4" spans="1:5" x14ac:dyDescent="0.25">
      <c r="A4" t="s">
        <v>24</v>
      </c>
      <c r="B4" t="s">
        <v>25</v>
      </c>
      <c r="C4" t="s">
        <v>26</v>
      </c>
      <c r="D4">
        <v>1</v>
      </c>
      <c r="E4" t="s">
        <v>87</v>
      </c>
    </row>
    <row r="5" spans="1:5" x14ac:dyDescent="0.25">
      <c r="A5" t="s">
        <v>29</v>
      </c>
      <c r="B5" t="s">
        <v>30</v>
      </c>
      <c r="C5" t="s">
        <v>31</v>
      </c>
      <c r="D5">
        <v>3</v>
      </c>
      <c r="E5" t="s">
        <v>88</v>
      </c>
    </row>
    <row r="6" spans="1:5" x14ac:dyDescent="0.25">
      <c r="A6" t="s">
        <v>33</v>
      </c>
      <c r="B6" t="s">
        <v>34</v>
      </c>
      <c r="C6" t="s">
        <v>35</v>
      </c>
      <c r="D6">
        <v>2</v>
      </c>
      <c r="E6" t="s">
        <v>88</v>
      </c>
    </row>
    <row r="7" spans="1:5" x14ac:dyDescent="0.25">
      <c r="A7" t="s">
        <v>37</v>
      </c>
      <c r="B7" t="s">
        <v>38</v>
      </c>
      <c r="C7" t="s">
        <v>39</v>
      </c>
      <c r="D7">
        <v>1</v>
      </c>
      <c r="E7" t="s">
        <v>87</v>
      </c>
    </row>
    <row r="8" spans="1:5" x14ac:dyDescent="0.25">
      <c r="A8" t="s">
        <v>41</v>
      </c>
      <c r="B8" t="s">
        <v>42</v>
      </c>
      <c r="C8" t="s">
        <v>43</v>
      </c>
      <c r="D8">
        <v>2</v>
      </c>
      <c r="E8" t="s">
        <v>88</v>
      </c>
    </row>
    <row r="9" spans="1:5" x14ac:dyDescent="0.25">
      <c r="A9" t="s">
        <v>45</v>
      </c>
      <c r="B9" t="s">
        <v>46</v>
      </c>
      <c r="C9" t="s">
        <v>47</v>
      </c>
      <c r="D9">
        <v>1</v>
      </c>
      <c r="E9" t="s">
        <v>87</v>
      </c>
    </row>
    <row r="10" spans="1:5" x14ac:dyDescent="0.25">
      <c r="A10" t="s">
        <v>49</v>
      </c>
      <c r="B10" t="s">
        <v>50</v>
      </c>
      <c r="C10" t="s">
        <v>51</v>
      </c>
      <c r="D10">
        <v>2</v>
      </c>
      <c r="E10" t="s">
        <v>88</v>
      </c>
    </row>
    <row r="11" spans="1:5" x14ac:dyDescent="0.25">
      <c r="A11" t="s">
        <v>53</v>
      </c>
      <c r="B11" t="s">
        <v>54</v>
      </c>
      <c r="C11" t="s">
        <v>55</v>
      </c>
      <c r="D11">
        <v>1</v>
      </c>
      <c r="E11" t="s">
        <v>87</v>
      </c>
    </row>
    <row r="12" spans="1:5" x14ac:dyDescent="0.25">
      <c r="A12" t="s">
        <v>57</v>
      </c>
      <c r="B12" t="s">
        <v>58</v>
      </c>
      <c r="C12" t="s">
        <v>59</v>
      </c>
      <c r="D12">
        <v>2</v>
      </c>
      <c r="E12" t="s">
        <v>88</v>
      </c>
    </row>
    <row r="13" spans="1:5" x14ac:dyDescent="0.25">
      <c r="A13" t="s">
        <v>61</v>
      </c>
      <c r="B13" t="s">
        <v>62</v>
      </c>
      <c r="C13" t="s">
        <v>63</v>
      </c>
      <c r="D13">
        <v>2</v>
      </c>
      <c r="E13" t="s">
        <v>88</v>
      </c>
    </row>
    <row r="14" spans="1:5" x14ac:dyDescent="0.25">
      <c r="A14" t="s">
        <v>65</v>
      </c>
      <c r="B14" t="s">
        <v>66</v>
      </c>
      <c r="C14" t="s">
        <v>67</v>
      </c>
      <c r="D14">
        <v>1</v>
      </c>
      <c r="E14" t="s">
        <v>87</v>
      </c>
    </row>
    <row r="15" spans="1:5" x14ac:dyDescent="0.25">
      <c r="A15" t="s">
        <v>69</v>
      </c>
      <c r="B15" t="s">
        <v>70</v>
      </c>
      <c r="C15" t="s">
        <v>71</v>
      </c>
      <c r="D15">
        <v>1</v>
      </c>
      <c r="E15" t="s">
        <v>87</v>
      </c>
    </row>
    <row r="16" spans="1:5" x14ac:dyDescent="0.25">
      <c r="A16" t="s">
        <v>73</v>
      </c>
      <c r="B16" t="s">
        <v>74</v>
      </c>
      <c r="C16" t="s">
        <v>75</v>
      </c>
      <c r="D16">
        <v>1</v>
      </c>
      <c r="E16" t="s">
        <v>87</v>
      </c>
    </row>
    <row r="17" spans="1:5" x14ac:dyDescent="0.25">
      <c r="A17" t="s">
        <v>77</v>
      </c>
      <c r="B17" t="s">
        <v>78</v>
      </c>
      <c r="C17" t="s">
        <v>79</v>
      </c>
      <c r="D17">
        <v>1</v>
      </c>
      <c r="E17" t="s">
        <v>87</v>
      </c>
    </row>
    <row r="18" spans="1:5" x14ac:dyDescent="0.25">
      <c r="A18" t="s">
        <v>81</v>
      </c>
      <c r="B18" t="s">
        <v>82</v>
      </c>
      <c r="C18" t="s">
        <v>83</v>
      </c>
      <c r="D18">
        <v>2</v>
      </c>
      <c r="E18" t="s">
        <v>88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Produktübersicht</vt:lpstr>
      <vt:lpstr>Bestellungen</vt:lpstr>
      <vt:lpstr>Kunden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2022-03-17T20:49:31Z</dcterms:created>
  <dcterms:modified xsi:type="dcterms:W3CDTF">2022-03-18T08:45:22Z</dcterms:modified>
</cp:coreProperties>
</file>